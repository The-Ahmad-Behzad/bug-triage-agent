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 Estimation &amp; Budget" sheetId="1" r:id="rId4"/>
    <sheet state="visible" name="EVM Assumptions &amp; Inputs" sheetId="2" r:id="rId5"/>
    <sheet state="visible" name="EVM Calculations" sheetId="3" r:id="rId6"/>
    <sheet state="visible" name="EV Chart Data" sheetId="4" r:id="rId7"/>
  </sheets>
  <definedNames/>
  <calcPr/>
</workbook>
</file>

<file path=xl/sharedStrings.xml><?xml version="1.0" encoding="utf-8"?>
<sst xmlns="http://schemas.openxmlformats.org/spreadsheetml/2006/main" count="141" uniqueCount="124">
  <si>
    <t>A (WBS ID)</t>
  </si>
  <si>
    <t>B (Task Name)</t>
  </si>
  <si>
    <t>C (Assigned To)</t>
  </si>
  <si>
    <t>D (Duration Days)</t>
  </si>
  <si>
    <t>E (Unit Cost PKR/day)</t>
  </si>
  <si>
    <t>F (Qty = Person-Days)</t>
  </si>
  <si>
    <t>G (Subtotal PKR = E×F)</t>
  </si>
  <si>
    <t>H (Notes)</t>
  </si>
  <si>
    <t>1.1.1</t>
  </si>
  <si>
    <t>Project Charter &amp; Stakeholder Analysis</t>
  </si>
  <si>
    <t>Ahmad Tashfeen</t>
  </si>
  <si>
    <t>Initiation activity</t>
  </si>
  <si>
    <t>1.1.2</t>
  </si>
  <si>
    <t>High-Level Requirements &amp; Feasibility</t>
  </si>
  <si>
    <t>Follows charter completion</t>
  </si>
  <si>
    <t>1.1.3</t>
  </si>
  <si>
    <t>Supervisor Review &amp; Approval (M1)</t>
  </si>
  <si>
    <t>Supervisor</t>
  </si>
  <si>
    <t>External dependency</t>
  </si>
  <si>
    <t>1.2.1</t>
  </si>
  <si>
    <t>Scope Statement &amp; WBS Development</t>
  </si>
  <si>
    <t>Ahmad Tariq</t>
  </si>
  <si>
    <t>After M1 approval</t>
  </si>
  <si>
    <t>1.2.2</t>
  </si>
  <si>
    <t>Schedule, Resource &amp; Risk Planning</t>
  </si>
  <si>
    <t>Needs approved scope</t>
  </si>
  <si>
    <t>1.2.3</t>
  </si>
  <si>
    <t>Scope Management Plan</t>
  </si>
  <si>
    <t>Can overlap with 1.2.4</t>
  </si>
  <si>
    <t>1.2.4</t>
  </si>
  <si>
    <t>Dataset Acquisition &amp; Cleaning</t>
  </si>
  <si>
    <t>Before model training</t>
  </si>
  <si>
    <t>1.3.1</t>
  </si>
  <si>
    <t>Sprint 1 – Model Design &amp; Training</t>
  </si>
  <si>
    <t>Umer Qureshi</t>
  </si>
  <si>
    <t>Initial ML prototype</t>
  </si>
  <si>
    <t>1.3.2</t>
  </si>
  <si>
    <t>Integration with Mock Bug Tracker UI</t>
  </si>
  <si>
    <t>Post model stability</t>
  </si>
  <si>
    <t>1.3.3</t>
  </si>
  <si>
    <t>Review &amp; Adjust (End Sprint 1)</t>
  </si>
  <si>
    <t>Sprint 1 refinement</t>
  </si>
  <si>
    <t>1.3.4</t>
  </si>
  <si>
    <t>Sprint 2 – Refinement &amp; Additions</t>
  </si>
  <si>
    <t>Further model tuning</t>
  </si>
  <si>
    <t>1.3.5</t>
  </si>
  <si>
    <t>Sprint 2 – Testing &amp; Feedback</t>
  </si>
  <si>
    <t>QA and user feedback</t>
  </si>
  <si>
    <t>1.4.1</t>
  </si>
  <si>
    <t>Final Testing &amp; Documentation</t>
  </si>
  <si>
    <t>All Members</t>
  </si>
  <si>
    <t>Final integration</t>
  </si>
  <si>
    <t>1.4.2</t>
  </si>
  <si>
    <t>Final Presentation &amp; Lessons Learned</t>
  </si>
  <si>
    <t>Before submission</t>
  </si>
  <si>
    <t>1.4.3</t>
  </si>
  <si>
    <t>Supervisor Approval &amp; Submission (M4)</t>
  </si>
  <si>
    <t>External final review</t>
  </si>
  <si>
    <t>Total Direct Cost</t>
  </si>
  <si>
    <t>Contingency (10%)</t>
  </si>
  <si>
    <t>Total Budget (BAC)</t>
  </si>
  <si>
    <t>Label</t>
  </si>
  <si>
    <t>Value</t>
  </si>
  <si>
    <t>Notes</t>
  </si>
  <si>
    <t>BAC (Budget at Completion)</t>
  </si>
  <si>
    <t>BAC from Cost Estimation &amp; Budget</t>
  </si>
  <si>
    <t>Planned % Complete (PV%)</t>
  </si>
  <si>
    <t>60% of work was planned to be done by now</t>
  </si>
  <si>
    <t>Actual % Complete (EV%)</t>
  </si>
  <si>
    <t>45% of work is actually completed</t>
  </si>
  <si>
    <t>Actual Cost (as % of BAC)</t>
  </si>
  <si>
    <t>52% of the total budget has been spent</t>
  </si>
  <si>
    <t>Planned Duration (days)</t>
  </si>
  <si>
    <t>Total project duration from WBS</t>
  </si>
  <si>
    <t>Elapsed Time (months)</t>
  </si>
  <si>
    <t>After 3 months of project progress</t>
  </si>
  <si>
    <t>Team Members</t>
  </si>
  <si>
    <t>Ahmad Tashfeen, Ahmad Tariq, Umer Qureshi</t>
  </si>
  <si>
    <t>Project Title</t>
  </si>
  <si>
    <t>Bug Triage AI Agent</t>
  </si>
  <si>
    <t>Metric</t>
  </si>
  <si>
    <t>Interpretation</t>
  </si>
  <si>
    <t>BAC (PKR)</t>
  </si>
  <si>
    <t>Pulls Budget at Completion</t>
  </si>
  <si>
    <t>Total Budget</t>
  </si>
  <si>
    <t>PV (PKR)</t>
  </si>
  <si>
    <t>Planned Value = BAC × PV%</t>
  </si>
  <si>
    <t xml:space="preserve">Planned Value </t>
  </si>
  <si>
    <t>EV (PKR)</t>
  </si>
  <si>
    <t>Earned Value = BAC × EV%</t>
  </si>
  <si>
    <t>Earned Value</t>
  </si>
  <si>
    <t>AC (PKR)</t>
  </si>
  <si>
    <t>Actual Cost = BAC × AC%</t>
  </si>
  <si>
    <t>Actual Cost</t>
  </si>
  <si>
    <t>CV (PKR)</t>
  </si>
  <si>
    <t>Cost Variance = EV – AC</t>
  </si>
  <si>
    <r>
      <rPr>
        <rFont val="Arial"/>
        <color theme="1"/>
      </rPr>
      <t xml:space="preserve">Negative -&gt; </t>
    </r>
    <r>
      <rPr>
        <rFont val="Arial"/>
        <b/>
        <color theme="1"/>
      </rPr>
      <t>Over Budget</t>
    </r>
  </si>
  <si>
    <t>SV (PKR)</t>
  </si>
  <si>
    <t>Schedule Variance = EV – PV</t>
  </si>
  <si>
    <r>
      <rPr>
        <rFont val="Arial"/>
        <color theme="1"/>
      </rPr>
      <t xml:space="preserve">Negative -&gt; </t>
    </r>
    <r>
      <rPr>
        <rFont val="Arial"/>
        <b/>
        <color theme="1"/>
      </rPr>
      <t>Behind Schedule</t>
    </r>
  </si>
  <si>
    <t>CPI</t>
  </si>
  <si>
    <t>Cost Performance Index = EV ÷ AC</t>
  </si>
  <si>
    <r>
      <rPr>
        <rFont val="Arial"/>
        <color theme="1"/>
      </rPr>
      <t xml:space="preserve">&lt;1 -&gt; </t>
    </r>
    <r>
      <rPr>
        <rFont val="Arial"/>
        <b/>
        <color theme="1"/>
      </rPr>
      <t>Cost Inefficiency</t>
    </r>
  </si>
  <si>
    <t>SPI</t>
  </si>
  <si>
    <t>Schedule Performance Index = EV ÷ PV</t>
  </si>
  <si>
    <r>
      <rPr>
        <rFont val="Arial"/>
        <color theme="1"/>
      </rPr>
      <t xml:space="preserve">&lt;1 -&gt; </t>
    </r>
    <r>
      <rPr>
        <rFont val="Arial"/>
        <b/>
        <color theme="1"/>
      </rPr>
      <t>Schedule Delay</t>
    </r>
  </si>
  <si>
    <t>EAC (PKR)</t>
  </si>
  <si>
    <t>Estimate at Completion = BAC ÷ CPI</t>
  </si>
  <si>
    <t>Project will cost more</t>
  </si>
  <si>
    <t>Planned project duration from WBS</t>
  </si>
  <si>
    <t>Planned Duration (months)</t>
  </si>
  <si>
    <t>Approx. planned months</t>
  </si>
  <si>
    <t>Estimated Total Duration (months)</t>
  </si>
  <si>
    <t>Adjusted for schedule performance (Planned ÷ SPI)</t>
  </si>
  <si>
    <r>
      <rPr>
        <rFont val="Arial"/>
        <color theme="1"/>
      </rPr>
      <t xml:space="preserve">Project may </t>
    </r>
    <r>
      <rPr>
        <rFont val="Arial"/>
        <b/>
        <color theme="1"/>
      </rPr>
      <t>extend</t>
    </r>
    <r>
      <rPr>
        <rFont val="Arial"/>
        <color theme="1"/>
      </rPr>
      <t xml:space="preserve"> by 8-10 days</t>
    </r>
  </si>
  <si>
    <t>Elapsed Months (assumed)</t>
  </si>
  <si>
    <t>Time passed (given = 3 months)</t>
  </si>
  <si>
    <t>Estimated Remaining Months</t>
  </si>
  <si>
    <t>Remaining duration = total − elapsed</t>
  </si>
  <si>
    <t>Month</t>
  </si>
  <si>
    <t>Project start</t>
  </si>
  <si>
    <t>End of Month 1</t>
  </si>
  <si>
    <t>End of Month 2</t>
  </si>
  <si>
    <t>End of Month 3 (current)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</si>
</sst>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Earned Value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 Chart Data'!$B$1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 Chart Data'!$A$2:$A$5</c:f>
            </c:strRef>
          </c:cat>
          <c:val>
            <c:numRef>
              <c:f>'EV Chart Data'!$B$2:$B$5</c:f>
              <c:numCache/>
            </c:numRef>
          </c:val>
          <c:smooth val="0"/>
        </c:ser>
        <c:ser>
          <c:idx val="1"/>
          <c:order val="1"/>
          <c:tx>
            <c:strRef>
              <c:f>'EV Chart Data'!$C$1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 Chart Data'!$A$2:$A$5</c:f>
            </c:strRef>
          </c:cat>
          <c:val>
            <c:numRef>
              <c:f>'EV Chart Data'!$C$2:$C$5</c:f>
              <c:numCache/>
            </c:numRef>
          </c:val>
          <c:smooth val="0"/>
        </c:ser>
        <c:ser>
          <c:idx val="2"/>
          <c:order val="2"/>
          <c:tx>
            <c:strRef>
              <c:f>'EV Chart Data'!$D$1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 Chart Data'!$A$2:$A$5</c:f>
            </c:strRef>
          </c:cat>
          <c:val>
            <c:numRef>
              <c:f>'EV Chart Data'!$D$2:$D$5</c:f>
              <c:numCache/>
            </c:numRef>
          </c:val>
          <c:smooth val="0"/>
        </c:ser>
        <c:axId val="1085987477"/>
        <c:axId val="1585685754"/>
      </c:lineChart>
      <c:catAx>
        <c:axId val="1085987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685754"/>
      </c:catAx>
      <c:valAx>
        <c:axId val="1585685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 (PKR)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59874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3.63"/>
    <col customWidth="1" min="4" max="4" width="15.13"/>
    <col customWidth="1" min="5" max="5" width="18.38"/>
    <col customWidth="1" min="6" max="6" width="18.5"/>
    <col customWidth="1" min="7" max="7" width="19.5"/>
    <col customWidth="1" min="8" max="8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3.0</v>
      </c>
      <c r="E2" s="2">
        <v>2000.0</v>
      </c>
      <c r="F2" s="3">
        <f t="shared" ref="F2:F16" si="1"> D2</f>
        <v>3</v>
      </c>
      <c r="G2" s="2">
        <f t="shared" ref="G2:G16" si="2">MULTIPLY(E2,F2)</f>
        <v>6000</v>
      </c>
      <c r="H2" s="2" t="s">
        <v>11</v>
      </c>
    </row>
    <row r="3">
      <c r="A3" s="2" t="s">
        <v>12</v>
      </c>
      <c r="B3" s="2" t="s">
        <v>13</v>
      </c>
      <c r="C3" s="2" t="s">
        <v>10</v>
      </c>
      <c r="D3" s="2">
        <v>3.0</v>
      </c>
      <c r="E3" s="2">
        <v>2000.0</v>
      </c>
      <c r="F3" s="3">
        <f t="shared" si="1"/>
        <v>3</v>
      </c>
      <c r="G3" s="2">
        <f t="shared" si="2"/>
        <v>6000</v>
      </c>
      <c r="H3" s="2" t="s">
        <v>14</v>
      </c>
    </row>
    <row r="4">
      <c r="A4" s="2" t="s">
        <v>15</v>
      </c>
      <c r="B4" s="2" t="s">
        <v>16</v>
      </c>
      <c r="C4" s="2" t="s">
        <v>17</v>
      </c>
      <c r="D4" s="2">
        <v>1.0</v>
      </c>
      <c r="E4" s="2">
        <v>1500.0</v>
      </c>
      <c r="F4" s="3">
        <f t="shared" si="1"/>
        <v>1</v>
      </c>
      <c r="G4" s="2">
        <f t="shared" si="2"/>
        <v>1500</v>
      </c>
      <c r="H4" s="2" t="s">
        <v>18</v>
      </c>
    </row>
    <row r="5">
      <c r="A5" s="2" t="s">
        <v>19</v>
      </c>
      <c r="B5" s="2" t="s">
        <v>20</v>
      </c>
      <c r="C5" s="2" t="s">
        <v>21</v>
      </c>
      <c r="D5" s="2">
        <v>3.0</v>
      </c>
      <c r="E5" s="2">
        <v>2000.0</v>
      </c>
      <c r="F5" s="3">
        <f t="shared" si="1"/>
        <v>3</v>
      </c>
      <c r="G5" s="2">
        <f t="shared" si="2"/>
        <v>6000</v>
      </c>
      <c r="H5" s="2" t="s">
        <v>22</v>
      </c>
    </row>
    <row r="6">
      <c r="A6" s="2" t="s">
        <v>23</v>
      </c>
      <c r="B6" s="2" t="s">
        <v>24</v>
      </c>
      <c r="C6" s="2" t="s">
        <v>21</v>
      </c>
      <c r="D6" s="2">
        <v>3.0</v>
      </c>
      <c r="E6" s="2">
        <v>2000.0</v>
      </c>
      <c r="F6" s="3">
        <f t="shared" si="1"/>
        <v>3</v>
      </c>
      <c r="G6" s="2">
        <f t="shared" si="2"/>
        <v>6000</v>
      </c>
      <c r="H6" s="2" t="s">
        <v>25</v>
      </c>
    </row>
    <row r="7">
      <c r="A7" s="2" t="s">
        <v>26</v>
      </c>
      <c r="B7" s="2" t="s">
        <v>27</v>
      </c>
      <c r="C7" s="2" t="s">
        <v>21</v>
      </c>
      <c r="D7" s="2">
        <v>2.0</v>
      </c>
      <c r="E7" s="2">
        <v>2000.0</v>
      </c>
      <c r="F7" s="3">
        <f t="shared" si="1"/>
        <v>2</v>
      </c>
      <c r="G7" s="2">
        <f t="shared" si="2"/>
        <v>4000</v>
      </c>
      <c r="H7" s="2" t="s">
        <v>28</v>
      </c>
    </row>
    <row r="8">
      <c r="A8" s="2" t="s">
        <v>29</v>
      </c>
      <c r="B8" s="2" t="s">
        <v>30</v>
      </c>
      <c r="C8" s="2" t="s">
        <v>21</v>
      </c>
      <c r="D8" s="2">
        <v>3.0</v>
      </c>
      <c r="E8" s="2">
        <v>2000.0</v>
      </c>
      <c r="F8" s="3">
        <f t="shared" si="1"/>
        <v>3</v>
      </c>
      <c r="G8" s="2">
        <f t="shared" si="2"/>
        <v>6000</v>
      </c>
      <c r="H8" s="2" t="s">
        <v>31</v>
      </c>
    </row>
    <row r="9">
      <c r="A9" s="2" t="s">
        <v>32</v>
      </c>
      <c r="B9" s="2" t="s">
        <v>33</v>
      </c>
      <c r="C9" s="2" t="s">
        <v>34</v>
      </c>
      <c r="D9" s="2">
        <v>4.0</v>
      </c>
      <c r="E9" s="2">
        <v>2000.0</v>
      </c>
      <c r="F9" s="3">
        <f t="shared" si="1"/>
        <v>4</v>
      </c>
      <c r="G9" s="2">
        <f t="shared" si="2"/>
        <v>8000</v>
      </c>
      <c r="H9" s="2" t="s">
        <v>35</v>
      </c>
    </row>
    <row r="10">
      <c r="A10" s="2" t="s">
        <v>36</v>
      </c>
      <c r="B10" s="2" t="s">
        <v>37</v>
      </c>
      <c r="C10" s="2" t="s">
        <v>34</v>
      </c>
      <c r="D10" s="2">
        <v>3.0</v>
      </c>
      <c r="E10" s="2">
        <v>2000.0</v>
      </c>
      <c r="F10" s="3">
        <f t="shared" si="1"/>
        <v>3</v>
      </c>
      <c r="G10" s="2">
        <f t="shared" si="2"/>
        <v>6000</v>
      </c>
      <c r="H10" s="2" t="s">
        <v>38</v>
      </c>
    </row>
    <row r="11">
      <c r="A11" s="2" t="s">
        <v>39</v>
      </c>
      <c r="B11" s="2" t="s">
        <v>40</v>
      </c>
      <c r="C11" s="2" t="s">
        <v>34</v>
      </c>
      <c r="D11" s="2">
        <v>3.0</v>
      </c>
      <c r="E11" s="2">
        <v>2000.0</v>
      </c>
      <c r="F11" s="3">
        <f t="shared" si="1"/>
        <v>3</v>
      </c>
      <c r="G11" s="2">
        <f t="shared" si="2"/>
        <v>6000</v>
      </c>
      <c r="H11" s="2" t="s">
        <v>41</v>
      </c>
    </row>
    <row r="12">
      <c r="A12" s="2" t="s">
        <v>42</v>
      </c>
      <c r="B12" s="2" t="s">
        <v>43</v>
      </c>
      <c r="C12" s="2" t="s">
        <v>34</v>
      </c>
      <c r="D12" s="2">
        <v>5.0</v>
      </c>
      <c r="E12" s="2">
        <v>2000.0</v>
      </c>
      <c r="F12" s="3">
        <f t="shared" si="1"/>
        <v>5</v>
      </c>
      <c r="G12" s="2">
        <f t="shared" si="2"/>
        <v>10000</v>
      </c>
      <c r="H12" s="2" t="s">
        <v>44</v>
      </c>
    </row>
    <row r="13">
      <c r="A13" s="2" t="s">
        <v>45</v>
      </c>
      <c r="B13" s="2" t="s">
        <v>46</v>
      </c>
      <c r="C13" s="2" t="s">
        <v>34</v>
      </c>
      <c r="D13" s="2">
        <v>5.0</v>
      </c>
      <c r="E13" s="2">
        <v>2000.0</v>
      </c>
      <c r="F13" s="3">
        <f t="shared" si="1"/>
        <v>5</v>
      </c>
      <c r="G13" s="2">
        <f t="shared" si="2"/>
        <v>10000</v>
      </c>
      <c r="H13" s="2" t="s">
        <v>47</v>
      </c>
    </row>
    <row r="14">
      <c r="A14" s="2" t="s">
        <v>48</v>
      </c>
      <c r="B14" s="2" t="s">
        <v>49</v>
      </c>
      <c r="C14" s="2" t="s">
        <v>50</v>
      </c>
      <c r="D14" s="2">
        <v>5.0</v>
      </c>
      <c r="E14" s="2">
        <v>2000.0</v>
      </c>
      <c r="F14" s="3">
        <f t="shared" si="1"/>
        <v>5</v>
      </c>
      <c r="G14" s="2">
        <f t="shared" si="2"/>
        <v>10000</v>
      </c>
      <c r="H14" s="2" t="s">
        <v>51</v>
      </c>
    </row>
    <row r="15">
      <c r="A15" s="2" t="s">
        <v>52</v>
      </c>
      <c r="B15" s="2" t="s">
        <v>53</v>
      </c>
      <c r="C15" s="2" t="s">
        <v>50</v>
      </c>
      <c r="D15" s="2">
        <v>5.0</v>
      </c>
      <c r="E15" s="2">
        <v>2000.0</v>
      </c>
      <c r="F15" s="3">
        <f t="shared" si="1"/>
        <v>5</v>
      </c>
      <c r="G15" s="2">
        <f t="shared" si="2"/>
        <v>10000</v>
      </c>
      <c r="H15" s="2" t="s">
        <v>54</v>
      </c>
    </row>
    <row r="16">
      <c r="A16" s="2" t="s">
        <v>55</v>
      </c>
      <c r="B16" s="2" t="s">
        <v>56</v>
      </c>
      <c r="C16" s="2" t="s">
        <v>17</v>
      </c>
      <c r="D16" s="2">
        <v>5.0</v>
      </c>
      <c r="E16" s="2">
        <v>1500.0</v>
      </c>
      <c r="F16" s="3">
        <f t="shared" si="1"/>
        <v>5</v>
      </c>
      <c r="G16" s="2">
        <f t="shared" si="2"/>
        <v>7500</v>
      </c>
      <c r="H16" s="2" t="s">
        <v>57</v>
      </c>
    </row>
    <row r="17">
      <c r="A17" s="2"/>
      <c r="B17" s="4" t="s">
        <v>58</v>
      </c>
      <c r="C17" s="5"/>
      <c r="D17" s="5"/>
      <c r="E17" s="5"/>
      <c r="F17" s="5"/>
      <c r="G17" s="5">
        <f>SUM(G2:G16)</f>
        <v>103000</v>
      </c>
      <c r="H17" s="3"/>
    </row>
    <row r="18">
      <c r="A18" s="3"/>
      <c r="B18" s="4" t="s">
        <v>59</v>
      </c>
      <c r="C18" s="5"/>
      <c r="D18" s="5"/>
      <c r="E18" s="5"/>
      <c r="F18" s="5"/>
      <c r="G18" s="5">
        <f>G17*0.1</f>
        <v>10300</v>
      </c>
      <c r="H18" s="3"/>
    </row>
    <row r="19">
      <c r="A19" s="3"/>
      <c r="B19" s="4" t="s">
        <v>60</v>
      </c>
      <c r="C19" s="5"/>
      <c r="D19" s="5"/>
      <c r="E19" s="5"/>
      <c r="F19" s="5"/>
      <c r="G19" s="5">
        <f>G17+G18</f>
        <v>113300</v>
      </c>
      <c r="H1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35.13"/>
    <col customWidth="1" min="3" max="3" width="34.13"/>
  </cols>
  <sheetData>
    <row r="1">
      <c r="A1" s="1" t="s">
        <v>61</v>
      </c>
      <c r="B1" s="1" t="s">
        <v>62</v>
      </c>
      <c r="C1" s="1" t="s">
        <v>63</v>
      </c>
      <c r="D1" s="3"/>
    </row>
    <row r="2">
      <c r="A2" s="2" t="s">
        <v>64</v>
      </c>
      <c r="B2" s="3">
        <f> 'Cost Estimation &amp; Budget'!G19</f>
        <v>113300</v>
      </c>
      <c r="C2" s="2" t="s">
        <v>65</v>
      </c>
      <c r="D2" s="3"/>
    </row>
    <row r="3">
      <c r="A3" s="2" t="s">
        <v>66</v>
      </c>
      <c r="B3" s="2">
        <v>0.6</v>
      </c>
      <c r="C3" s="2" t="s">
        <v>67</v>
      </c>
      <c r="D3" s="3"/>
    </row>
    <row r="4">
      <c r="A4" s="2" t="s">
        <v>68</v>
      </c>
      <c r="B4" s="2">
        <v>0.45</v>
      </c>
      <c r="C4" s="2" t="s">
        <v>69</v>
      </c>
      <c r="D4" s="3"/>
    </row>
    <row r="5">
      <c r="A5" s="2" t="s">
        <v>70</v>
      </c>
      <c r="B5" s="2">
        <v>0.52</v>
      </c>
      <c r="C5" s="2" t="s">
        <v>71</v>
      </c>
      <c r="D5" s="3"/>
    </row>
    <row r="6">
      <c r="A6" s="2" t="s">
        <v>72</v>
      </c>
      <c r="B6" s="2">
        <v>53.0</v>
      </c>
      <c r="C6" s="2" t="s">
        <v>73</v>
      </c>
      <c r="D6" s="3"/>
    </row>
    <row r="7">
      <c r="A7" s="2" t="s">
        <v>74</v>
      </c>
      <c r="B7" s="2">
        <v>3.0</v>
      </c>
      <c r="C7" s="2" t="s">
        <v>75</v>
      </c>
      <c r="D7" s="3"/>
    </row>
    <row r="8">
      <c r="A8" s="2" t="s">
        <v>76</v>
      </c>
      <c r="B8" s="2" t="s">
        <v>77</v>
      </c>
      <c r="C8" s="2"/>
      <c r="D8" s="3"/>
    </row>
    <row r="9">
      <c r="A9" s="2" t="s">
        <v>78</v>
      </c>
      <c r="B9" s="2" t="s">
        <v>79</v>
      </c>
      <c r="C9" s="2"/>
      <c r="D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2.63"/>
    <col customWidth="1" min="3" max="3" width="43.63"/>
    <col customWidth="1" min="4" max="4" width="25.25"/>
  </cols>
  <sheetData>
    <row r="1">
      <c r="A1" s="1" t="s">
        <v>80</v>
      </c>
      <c r="B1" s="1" t="s">
        <v>62</v>
      </c>
      <c r="C1" s="1" t="s">
        <v>63</v>
      </c>
      <c r="D1" s="1" t="s">
        <v>81</v>
      </c>
    </row>
    <row r="2">
      <c r="A2" s="2" t="s">
        <v>82</v>
      </c>
      <c r="B2" s="3">
        <f> 'EVM Assumptions &amp; Inputs'!B2</f>
        <v>113300</v>
      </c>
      <c r="C2" s="2" t="s">
        <v>83</v>
      </c>
      <c r="D2" s="2" t="s">
        <v>84</v>
      </c>
    </row>
    <row r="3">
      <c r="A3" s="2" t="s">
        <v>85</v>
      </c>
      <c r="B3" s="3">
        <f>B2 *'EVM Assumptions &amp; Inputs'!B3</f>
        <v>67980</v>
      </c>
      <c r="C3" s="2" t="s">
        <v>86</v>
      </c>
      <c r="D3" s="2" t="s">
        <v>87</v>
      </c>
    </row>
    <row r="4">
      <c r="A4" s="2" t="s">
        <v>88</v>
      </c>
      <c r="B4" s="3">
        <f>B2*'EVM Assumptions &amp; Inputs'!B4</f>
        <v>50985</v>
      </c>
      <c r="C4" s="2" t="s">
        <v>89</v>
      </c>
      <c r="D4" s="2" t="s">
        <v>90</v>
      </c>
    </row>
    <row r="5">
      <c r="A5" s="2" t="s">
        <v>91</v>
      </c>
      <c r="B5" s="3">
        <f>B2*'EVM Assumptions &amp; Inputs'!B5</f>
        <v>58916</v>
      </c>
      <c r="C5" s="2" t="s">
        <v>92</v>
      </c>
      <c r="D5" s="2" t="s">
        <v>93</v>
      </c>
    </row>
    <row r="6">
      <c r="A6" s="2" t="s">
        <v>94</v>
      </c>
      <c r="B6" s="3">
        <f>B4 - B5</f>
        <v>-7931</v>
      </c>
      <c r="C6" s="2" t="s">
        <v>95</v>
      </c>
      <c r="D6" s="2" t="s">
        <v>96</v>
      </c>
    </row>
    <row r="7">
      <c r="A7" s="2" t="s">
        <v>97</v>
      </c>
      <c r="B7" s="3">
        <f>B4-B3</f>
        <v>-16995</v>
      </c>
      <c r="C7" s="2" t="s">
        <v>98</v>
      </c>
      <c r="D7" s="2" t="s">
        <v>99</v>
      </c>
    </row>
    <row r="8">
      <c r="A8" s="2" t="s">
        <v>100</v>
      </c>
      <c r="B8" s="3">
        <f>B4 / B5</f>
        <v>0.8653846154</v>
      </c>
      <c r="C8" s="2" t="s">
        <v>101</v>
      </c>
      <c r="D8" s="2" t="s">
        <v>102</v>
      </c>
    </row>
    <row r="9">
      <c r="A9" s="2" t="s">
        <v>103</v>
      </c>
      <c r="B9" s="3">
        <f>B4 / B3</f>
        <v>0.75</v>
      </c>
      <c r="C9" s="2" t="s">
        <v>104</v>
      </c>
      <c r="D9" s="2" t="s">
        <v>105</v>
      </c>
    </row>
    <row r="10">
      <c r="A10" s="2" t="s">
        <v>106</v>
      </c>
      <c r="B10" s="3">
        <f>B2 / B8</f>
        <v>130924.4444</v>
      </c>
      <c r="C10" s="2" t="s">
        <v>107</v>
      </c>
      <c r="D10" s="1" t="s">
        <v>108</v>
      </c>
    </row>
    <row r="11">
      <c r="A11" s="2" t="s">
        <v>72</v>
      </c>
      <c r="B11" s="3">
        <f> 'EVM Assumptions &amp; Inputs'!B6</f>
        <v>53</v>
      </c>
      <c r="C11" s="2" t="s">
        <v>109</v>
      </c>
      <c r="D11" s="3"/>
    </row>
    <row r="12">
      <c r="A12" s="2" t="s">
        <v>110</v>
      </c>
      <c r="B12" s="3">
        <f>B11 / 30</f>
        <v>1.766666667</v>
      </c>
      <c r="C12" s="2" t="s">
        <v>111</v>
      </c>
      <c r="D12" s="3"/>
    </row>
    <row r="13">
      <c r="A13" s="2" t="s">
        <v>112</v>
      </c>
      <c r="B13" s="3">
        <f>B12 / B9</f>
        <v>2.355555556</v>
      </c>
      <c r="C13" s="2" t="s">
        <v>113</v>
      </c>
      <c r="D13" s="2" t="s">
        <v>114</v>
      </c>
    </row>
    <row r="14">
      <c r="A14" s="2" t="s">
        <v>115</v>
      </c>
      <c r="B14" s="3">
        <f> 'EVM Assumptions &amp; Inputs'!B7</f>
        <v>3</v>
      </c>
      <c r="C14" s="2" t="s">
        <v>116</v>
      </c>
      <c r="D14" s="3"/>
    </row>
    <row r="15">
      <c r="A15" s="2" t="s">
        <v>117</v>
      </c>
      <c r="B15" s="3">
        <f>MAX(B13 - B14, 0)</f>
        <v>0</v>
      </c>
      <c r="C15" s="2" t="s">
        <v>118</v>
      </c>
      <c r="D15" s="3"/>
    </row>
    <row r="16">
      <c r="D16" s="3"/>
    </row>
    <row r="17">
      <c r="D17" s="3"/>
    </row>
    <row r="18">
      <c r="D18" s="3"/>
    </row>
    <row r="19">
      <c r="D19" s="3"/>
    </row>
    <row r="20">
      <c r="D20" s="3"/>
    </row>
    <row r="21">
      <c r="D21" s="3"/>
    </row>
    <row r="22">
      <c r="D22" s="3"/>
    </row>
    <row r="23">
      <c r="D23" s="3"/>
    </row>
    <row r="24">
      <c r="D24" s="3"/>
    </row>
    <row r="25">
      <c r="D25" s="3"/>
    </row>
    <row r="26">
      <c r="D26" s="3"/>
    </row>
    <row r="27">
      <c r="D27" s="3"/>
    </row>
    <row r="28">
      <c r="D28" s="3"/>
    </row>
    <row r="29">
      <c r="D29" s="3"/>
    </row>
    <row r="30">
      <c r="D30" s="3"/>
    </row>
    <row r="31">
      <c r="D31" s="3"/>
    </row>
    <row r="32">
      <c r="D32" s="3"/>
    </row>
    <row r="33">
      <c r="D33" s="3"/>
    </row>
    <row r="34">
      <c r="D34" s="3"/>
    </row>
    <row r="35">
      <c r="D35" s="3"/>
    </row>
    <row r="36">
      <c r="D36" s="3"/>
    </row>
    <row r="37">
      <c r="D37" s="3"/>
    </row>
    <row r="38">
      <c r="D38" s="3"/>
    </row>
    <row r="39">
      <c r="D39" s="3"/>
    </row>
    <row r="40">
      <c r="D40" s="3"/>
    </row>
    <row r="41">
      <c r="D41" s="3"/>
    </row>
    <row r="42">
      <c r="D42" s="3"/>
    </row>
    <row r="43">
      <c r="D43" s="3"/>
    </row>
    <row r="44">
      <c r="D44" s="3"/>
    </row>
    <row r="45">
      <c r="D45" s="3"/>
    </row>
    <row r="46"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3" width="8.38"/>
    <col customWidth="1" min="4" max="4" width="10.75"/>
    <col customWidth="1" min="5" max="5" width="19.0"/>
  </cols>
  <sheetData>
    <row r="1">
      <c r="A1" s="1" t="s">
        <v>119</v>
      </c>
      <c r="B1" s="1" t="s">
        <v>85</v>
      </c>
      <c r="C1" s="1" t="s">
        <v>88</v>
      </c>
      <c r="D1" s="1" t="s">
        <v>91</v>
      </c>
      <c r="E1" s="1" t="s">
        <v>63</v>
      </c>
    </row>
    <row r="2">
      <c r="A2" s="2">
        <v>0.0</v>
      </c>
      <c r="B2" s="2">
        <v>0.0</v>
      </c>
      <c r="C2" s="2">
        <v>0.0</v>
      </c>
      <c r="D2" s="2">
        <v>0.0</v>
      </c>
      <c r="E2" s="2" t="s">
        <v>120</v>
      </c>
    </row>
    <row r="3">
      <c r="A3" s="2">
        <v>1.0</v>
      </c>
      <c r="B3" s="3">
        <f>('EVM Calculations'!B3 / 3) * A3</f>
        <v>22660</v>
      </c>
      <c r="C3" s="3">
        <f>('EVM Calculations'!B4 / 3) * A3</f>
        <v>16995</v>
      </c>
      <c r="D3" s="3">
        <f>('EVM Calculations'!B5 / 3) * A3</f>
        <v>19638.66667</v>
      </c>
      <c r="E3" s="2" t="s">
        <v>121</v>
      </c>
    </row>
    <row r="4">
      <c r="A4" s="2">
        <v>2.0</v>
      </c>
      <c r="B4" s="3">
        <f>('EVM Calculations'!B3 / 3) * A4</f>
        <v>45320</v>
      </c>
      <c r="C4" s="3">
        <f>('EVM Calculations'!B4 / 3) * A4</f>
        <v>33990</v>
      </c>
      <c r="D4" s="3">
        <f>('EVM Calculations'!B5 / 3) * A4</f>
        <v>39277.33333</v>
      </c>
      <c r="E4" s="2" t="s">
        <v>122</v>
      </c>
    </row>
    <row r="5">
      <c r="A5" s="2">
        <v>3.0</v>
      </c>
      <c r="B5" s="3">
        <f>'EVM Calculations'!B3</f>
        <v>67980</v>
      </c>
      <c r="C5" s="3">
        <f>'EVM Calculations'!B4</f>
        <v>50985</v>
      </c>
      <c r="D5" s="3">
        <f>'EVM Calculations'!B5</f>
        <v>58916</v>
      </c>
      <c r="E5" s="2" t="s">
        <v>123</v>
      </c>
    </row>
  </sheetData>
  <drawing r:id="rId1"/>
</worksheet>
</file>